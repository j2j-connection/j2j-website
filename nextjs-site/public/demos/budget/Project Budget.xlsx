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506aaa5a7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c3b1ab4b9f7e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;($#,##0);&quot;-&quot;"/>
  </x:numFmts>
  <x:fonts count="8">
    <x:font>
      <x:sz val="11"/>
      <x:name val="Carlito"/>
    </x:font>
    <x:font>
      <x:sz val="11"/>
      <x:color rgb="FF1C1A14"/>
      <x:name val="Arial"/>
    </x:font>
    <x:font>
      <x:b/>
      <x:sz val="17"/>
      <x:color rgb="FF1C1A14"/>
      <x:name val="Arial"/>
    </x:font>
    <x:font>
      <x:i/>
      <x:sz val="10"/>
      <x:color rgb="FF6E685C"/>
      <x:name val="Arial"/>
    </x:font>
    <x:font>
      <x:b/>
      <x:sz val="11"/>
      <x:color rgb="FF1C1A14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0"/>
      <x:color rgb="FF6E685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C1A14"/>
      </x:patternFill>
    </x:fill>
    <x:fill>
      <x:patternFill patternType="solid">
        <x:fgColor rgb="FFF7F3E7"/>
      </x:patternFill>
    </x:fill>
  </x:fills>
  <x:borders count="3">
    <x:border/>
    <x:border>
      <x:bottom style="thin">
        <x:color rgb="FFD9D2C1"/>
      </x:bottom>
    </x:border>
    <x:border>
      <x:top style="thin">
        <x:color rgb="FF9B9178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1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201" fontId="1" fillId="0" borderId="0" xfId="0" applyNumberFormat="1" applyFont="1" applyFill="1" applyBorder="1"/>
    <x:xf numFmtId="201" fontId="4" fillId="3" borderId="2" xfId="0" applyNumberFormat="1" applyFont="1" applyFill="1" applyBorder="1"/>
    <x:xf numFmtId="201" fontId="4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1" fontId="4" fillId="3" borderId="2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8B351A"/>
      </x:font>
      <x:fill>
        <x:patternFill patternType="solid">
          <x:bgColor rgb="FFFFF0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3a76dea4f4c47" /><Relationship Type="http://schemas.openxmlformats.org/officeDocument/2006/relationships/theme" Target="/xl/theme/theme1.xml" Id="Ra5a44d8ba85b4b3a" /><Relationship Type="http://schemas.openxmlformats.org/officeDocument/2006/relationships/sharedStrings" Target="/xl/sharedStrings.xml" Id="Rc348bd4e58e74389" /><Relationship Type="http://schemas.openxmlformats.org/officeDocument/2006/relationships/worksheet" Target="/xl/worksheets/sheet1.xml" Id="Rc3b1ab4b9f7e48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C1A14"/>
  </x:sheetPr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6" customHeight="1">
      <x:c r="A1" s="1"/>
      <x:c r="B1" s="1"/>
      <x:c r="C1" s="1"/>
      <x:c r="D1" s="1"/>
      <x:c r="E1" s="1"/>
      <x:c r="F1" s="1"/>
    </x:row>
    <x:row r="2" ht="26" customHeight="1">
      <x:c r="A2" s="2" t="str">
        <x:v>Project Budget</x:v>
      </x:c>
      <x:c r="B2" s="1"/>
      <x:c r="C2" s="1"/>
      <x:c r="D2" s="1"/>
      <x:c r="E2" s="1"/>
      <x:c r="F2" s="1"/>
    </x:row>
    <x:row r="3" ht="26" customHeight="1">
      <x:c r="A3" s="4" t="str">
        <x:v>J2J AI Consulting. Fictional consultant-fee example. Amounts in USD.</x:v>
      </x:c>
      <x:c r="B3" s="5"/>
      <x:c r="C3" s="5"/>
      <x:c r="D3" s="5"/>
      <x:c r="E3" s="5"/>
      <x:c r="F3" s="5"/>
    </x:row>
    <x:row r="4" ht="26" customHeight="1">
      <x:c r="A4" s="1"/>
      <x:c r="B4" s="1"/>
      <x:c r="C4" s="1"/>
      <x:c r="D4" s="1"/>
      <x:c r="E4" s="1"/>
      <x:c r="F4" s="1"/>
    </x:row>
    <x:row r="5" ht="26" customHeight="1">
      <x:c r="A5" s="1" t="str">
        <x:v>Remaining approved fees</x:v>
      </x:c>
      <x:c r="B5" s="17" t="n">
        <x:f>F12</x:f>
        <x:v>66000</x:v>
      </x:c>
      <x:c r="C5" s="1"/>
      <x:c r="D5" s="1" t="str">
        <x:v>Billed / approved</x:v>
      </x:c>
      <x:c r="E5" s="7" t="n">
        <x:f>IF(D12=0,"n.a.",E12/D12)</x:f>
        <x:v>0.78</x:v>
      </x:c>
      <x:c r="F5" s="1"/>
    </x:row>
    <x:row r="6" ht="26" customHeight="1">
      <x:c r="A6" s="1"/>
      <x:c r="B6" s="1"/>
      <x:c r="C6" s="1"/>
      <x:c r="D6" s="1"/>
      <x:c r="E6" s="1"/>
      <x:c r="F6" s="1"/>
    </x:row>
    <x:row r="7" ht="30" customHeight="1">
      <x:c r="A7" s="11" t="str">
        <x:v>Workstream</x:v>
      </x:c>
      <x:c r="B7" s="11" t="str">
        <x:v>Original fees</x:v>
      </x:c>
      <x:c r="C7" s="11" t="str">
        <x:v>Approved changes</x:v>
      </x:c>
      <x:c r="D7" s="11" t="str">
        <x:v>Approved fees</x:v>
      </x:c>
      <x:c r="E7" s="11" t="str">
        <x:v>Billed to date</x:v>
      </x:c>
      <x:c r="F7" s="11" t="str">
        <x:v>Remaining fees</x:v>
      </x:c>
    </x:row>
    <x:row r="8" ht="26" customHeight="1">
      <x:c r="A8" s="1" t="str">
        <x:v>Architectural design</x:v>
      </x:c>
      <x:c r="B8" s="19" t="n">
        <x:v>80000</x:v>
      </x:c>
      <x:c r="C8" s="19" t="n">
        <x:v>10000</x:v>
      </x:c>
      <x:c r="D8" s="20" t="n">
        <x:f>IF(COUNT(B8:C8)=2,SUM(B8:C8),NA())</x:f>
        <x:v>90000</x:v>
      </x:c>
      <x:c r="E8" s="19" t="n">
        <x:v>99000</x:v>
      </x:c>
      <x:c r="F8" s="20" t="n">
        <x:f>IF(ISNUMBER(E8),D8-E8,NA())</x:f>
        <x:v>-9000</x:v>
      </x:c>
    </x:row>
    <x:row r="9" ht="26" customHeight="1">
      <x:c r="A9" s="1" t="str">
        <x:v>Interior design</x:v>
      </x:c>
      <x:c r="B9" s="19" t="n">
        <x:v>120000</x:v>
      </x:c>
      <x:c r="C9" s="19" t="n">
        <x:v>15000</x:v>
      </x:c>
      <x:c r="D9" s="20" t="n">
        <x:f>IF(COUNT(B9:C9)=2,SUM(B9:C9),NA())</x:f>
        <x:v>135000</x:v>
      </x:c>
      <x:c r="E9" s="19" t="n">
        <x:v>90000</x:v>
      </x:c>
      <x:c r="F9" s="20" t="n">
        <x:f>IF(ISNUMBER(E9),D9-E9,NA())</x:f>
        <x:v>45000</x:v>
      </x:c>
    </x:row>
    <x:row r="10" ht="26" customHeight="1">
      <x:c r="A10" s="1" t="str">
        <x:v>Lighting design</x:v>
      </x:c>
      <x:c r="B10" s="19" t="n">
        <x:v>30000</x:v>
      </x:c>
      <x:c r="C10" s="19" t="n">
        <x:v>0</x:v>
      </x:c>
      <x:c r="D10" s="20" t="n">
        <x:f>IF(COUNT(B10:C10)=2,SUM(B10:C10),NA())</x:f>
        <x:v>30000</x:v>
      </x:c>
      <x:c r="E10" s="19" t="n">
        <x:v>27000</x:v>
      </x:c>
      <x:c r="F10" s="20" t="n">
        <x:f>IF(ISNUMBER(E10),D10-E10,NA())</x:f>
        <x:v>3000</x:v>
      </x:c>
    </x:row>
    <x:row r="11" ht="26" customHeight="1">
      <x:c r="A11" s="1" t="str">
        <x:v>Landscape design</x:v>
      </x:c>
      <x:c r="B11" s="19" t="n">
        <x:v>45000</x:v>
      </x:c>
      <x:c r="C11" s="19" t="n">
        <x:v>0</x:v>
      </x:c>
      <x:c r="D11" s="20" t="n">
        <x:f>IF(COUNT(B11:C11)=2,SUM(B11:C11),NA())</x:f>
        <x:v>45000</x:v>
      </x:c>
      <x:c r="E11" s="19" t="n">
        <x:v>18000</x:v>
      </x:c>
      <x:c r="F11" s="20" t="n">
        <x:f>IF(ISNUMBER(E11),D11-E11,NA())</x:f>
        <x:v>27000</x:v>
      </x:c>
    </x:row>
    <x:row r="12" ht="26" customHeight="1">
      <x:c r="A12" s="14" t="str">
        <x:v>Total</x:v>
      </x:c>
      <x:c r="B12" s="21" t="n">
        <x:f>SUM(B8:B11)</x:f>
        <x:v>275000</x:v>
      </x:c>
      <x:c r="C12" s="21" t="n">
        <x:f>SUM(C8:C11)</x:f>
        <x:v>25000</x:v>
      </x:c>
      <x:c r="D12" s="21" t="n">
        <x:f>SUM(D8:D11)</x:f>
        <x:v>300000</x:v>
      </x:c>
      <x:c r="E12" s="21" t="n">
        <x:f>SUM(E8:E11)</x:f>
        <x:v>234000</x:v>
      </x:c>
      <x:c r="F12" s="21" t="n">
        <x:f>SUM(F8:F11)</x:f>
        <x:v>66000</x:v>
      </x:c>
    </x:row>
    <x:row r="13" ht="26" customHeight="1">
      <x:c r="A13" s="1"/>
      <x:c r="B13" s="1"/>
      <x:c r="C13" s="1"/>
      <x:c r="D13" s="1"/>
      <x:c r="E13" s="1"/>
      <x:c r="F13" s="1"/>
    </x:row>
    <x:row r="14" ht="26" customHeight="1">
      <x:c r="A14" s="22" t="str">
        <x:v>Negative remaining fees indicate billing above approved fees. Confirm scope and approvals.</x:v>
      </x:c>
      <x:c r="B14" s="1"/>
      <x:c r="C14" s="1"/>
      <x:c r="D14" s="1"/>
      <x:c r="E14" s="1"/>
      <x:c r="F14" s="1"/>
    </x:row>
    <x:row r="15" ht="26" customHeight="1">
      <x:c r="A15" s="22" t="str">
        <x:v>Billing percentage does not measure work completed. Blue numbers are editable inputs.</x:v>
      </x:c>
      <x:c r="B15" s="1"/>
      <x:c r="C15" s="1"/>
      <x:c r="D15" s="1"/>
      <x:c r="E15" s="1"/>
      <x:c r="F15" s="1"/>
    </x:row>
    <x:row r="16" ht="26" customHeight="1">
      <x:c r="A16" s="1"/>
      <x:c r="B16" s="1"/>
      <x:c r="C16" s="1"/>
      <x:c r="D16" s="1"/>
      <x:c r="E16" s="1"/>
      <x:c r="F16" s="1"/>
    </x:row>
  </x:sheetData>
  <x:conditionalFormatting sqref="F8:F11">
    <x:cfRule type="cellIs" dxfId="0" priority="1" operator="lessThan">
      <x:formula>0</x:formula>
    </x:cfRule>
  </x:conditionalFormatting>
  <x:pageMargins left="0.7" right="0.7" top="0.75" bottom="0.75" header="0.3" footer="0.3"/>
</x:worksheet>
</file>